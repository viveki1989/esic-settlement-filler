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8099B7D-908E-4135-8E3C-EA3A6E91970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_LOOKUP" sheetId="1" state="hidden" r:id="rId1"/>
    <sheet name="HOW_TO_USE" sheetId="2" r:id="rId2"/>
    <sheet name="Travel_Settlement" sheetId="3" r:id="rId3"/>
    <sheet name="Boarding_Lodging" sheetId="4" r:id="rId4"/>
    <sheet name="Local_Conveyance" sheetId="5" r:id="rId5"/>
    <sheet name="Miscellaneous" sheetId="6" r:id="rId6"/>
    <sheet name="Summary" sheetId="7" r:id="rId7"/>
  </sheets>
  <definedNames>
    <definedName name="BL_AccType">_LOOKUP!$J$1:$J$3</definedName>
    <definedName name="BL_BookedBy">_LOOKUP!$K$1:$K$2</definedName>
    <definedName name="BL_Type">_LOOKUP!$I$1:$I$2</definedName>
    <definedName name="Booked_By">_LOOKUP!$G$1:$G$2</definedName>
    <definedName name="Flight">_LOOKUP!$A$2:$A$4</definedName>
    <definedName name="LC_Mode">_LOOKUP!$L$1:$L$6</definedName>
    <definedName name="Mode_List">_LOOKUP!$A$1:$E$1</definedName>
    <definedName name="Others">_LOOKUP!$E$2:$E$2</definedName>
    <definedName name="Relaxation">_LOOKUP!$H$1:$H$2</definedName>
    <definedName name="Road">_LOOKUP!$B$2:$B$6</definedName>
    <definedName name="Ship">_LOOKUP!$C$2:$C$4</definedName>
    <definedName name="Train">_LOOKUP!$D$2:$D$7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6" l="1"/>
  <c r="C6" i="7" s="1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23" i="5" s="1"/>
  <c r="C5" i="7" s="1"/>
  <c r="I5" i="5"/>
  <c r="I4" i="5"/>
  <c r="I3" i="5"/>
  <c r="K24" i="4"/>
  <c r="C4" i="7" s="1"/>
  <c r="M24" i="3"/>
  <c r="C3" i="7" s="1"/>
  <c r="C7" i="7" l="1"/>
</calcChain>
</file>

<file path=xl/sharedStrings.xml><?xml version="1.0" encoding="utf-8"?>
<sst xmlns="http://schemas.openxmlformats.org/spreadsheetml/2006/main" count="212" uniqueCount="93">
  <si>
    <t>Flight</t>
  </si>
  <si>
    <t>Road</t>
  </si>
  <si>
    <t>Ship</t>
  </si>
  <si>
    <t>Train</t>
  </si>
  <si>
    <t>Others</t>
  </si>
  <si>
    <t>Self</t>
  </si>
  <si>
    <t>No</t>
  </si>
  <si>
    <t>Lodging</t>
  </si>
  <si>
    <t>Hotel</t>
  </si>
  <si>
    <t>Local Train</t>
  </si>
  <si>
    <t>Economy</t>
  </si>
  <si>
    <t>Bus</t>
  </si>
  <si>
    <t>First Class</t>
  </si>
  <si>
    <t>1A</t>
  </si>
  <si>
    <t>Company</t>
  </si>
  <si>
    <t>Yes</t>
  </si>
  <si>
    <t>Boarding</t>
  </si>
  <si>
    <t>Guest House</t>
  </si>
  <si>
    <t>Business</t>
  </si>
  <si>
    <t>Car</t>
  </si>
  <si>
    <t>Second Class</t>
  </si>
  <si>
    <t>2A</t>
  </si>
  <si>
    <t>Not Applicable</t>
  </si>
  <si>
    <t>Auto Rickshaw</t>
  </si>
  <si>
    <t>3A</t>
  </si>
  <si>
    <t>Two Wheeler</t>
  </si>
  <si>
    <t>SL</t>
  </si>
  <si>
    <t>Second Seating</t>
  </si>
  <si>
    <t>ESIC HRMS — Travel Settlement Data Template</t>
  </si>
  <si>
    <t>⚠  Enter Travel Request No. below — bookmarklet uses this to navigate to your settlement page</t>
  </si>
  <si>
    <t>Travel Request No. →</t>
  </si>
  <si>
    <t>1 · Travel Request No.</t>
  </si>
  <si>
    <t>Enter TR No. in yellow cell C3 (e.g. TRV0000233941).</t>
  </si>
  <si>
    <t>2 · Date &amp; Time input</t>
  </si>
  <si>
    <t>Yellow cells = Date (DD/MM/YYYY)  |  Purple cells = Time (HH:MM)
Enter them separately — the bookmarklet combines them automatically before filling.
Example: Date = 01/12/2025  and  Time = 07:00  →  filled as  01/12/2025 07:00</t>
  </si>
  <si>
    <t>3 · Travel dropdowns</t>
  </si>
  <si>
    <t>Mode of Travel → Class/Coach (dependent):
  Flight→Economy/Business/First Class  |  Road→Bus/Car/Auto Rickshaw/Two Wheeler/Others
  Train→1A/2A/3A/SL/Second Seating/Others  |  Ship→First Class/Second Class/Others</t>
  </si>
  <si>
    <t>4 · B&amp;L dropdowns</t>
  </si>
  <si>
    <t>Type: Lodging or Boarding
Accommodation Type: Hotel / Guest House / Not Applicable
Booked By: Self / Company</t>
  </si>
  <si>
    <t>5 · LC &amp; Misc</t>
  </si>
  <si>
    <t>LC Mode: Local Train/Bus/Car/Auto Rickshaw/Two Wheeler/Others
Misc: Expense Description + Amount only (no Bill No on portal)</t>
  </si>
  <si>
    <t>6 · Run</t>
  </si>
  <si>
    <t>Login gateway.esic.gov.in → click ⚡ ESIC Fill Form bookmark → upload this file → Start.</t>
  </si>
  <si>
    <t xml:space="preserve">  TRAVEL SETTLEMENT DETAILS  —  Section B</t>
  </si>
  <si>
    <t>ℹ  Yellow = Date (DD/MM/YYYY)  |  Purple = Time (HH:MM)  |  Bookmarklet combines them automatically</t>
  </si>
  <si>
    <t>#</t>
  </si>
  <si>
    <t>Journey
From *</t>
  </si>
  <si>
    <t>Journey
To *</t>
  </si>
  <si>
    <t>Start
Date *
DD/MM/YYYY</t>
  </si>
  <si>
    <t>Start
Time *
HH:MM</t>
  </si>
  <si>
    <t>End
Date *
DD/MM/YYYY</t>
  </si>
  <si>
    <t>End
Time *
HH:MM</t>
  </si>
  <si>
    <t>Relaxation?
No/Yes</t>
  </si>
  <si>
    <t>Mode of
Travel *</t>
  </si>
  <si>
    <t>Class/Coach *
(pick Mode first)</t>
  </si>
  <si>
    <t>Booked
By *</t>
  </si>
  <si>
    <t>Ticket No.</t>
  </si>
  <si>
    <t>Amount
Rs.</t>
  </si>
  <si>
    <t>TOTAL  →</t>
  </si>
  <si>
    <t xml:space="preserve">  BOARDING &amp; LODGING SETTLEMENT DETAILS  —  Section C</t>
  </si>
  <si>
    <t>Type *
Lodging/Boarding
(lodgingBoardingType)</t>
  </si>
  <si>
    <t>Accommodation
Type *
Hotel/Guest House/
Not Applicable</t>
  </si>
  <si>
    <t>Booked By *
Self/Company
(accomodationBookedBy)</t>
  </si>
  <si>
    <t>From
Date *
DD/MM/YYYY</t>
  </si>
  <si>
    <t>From
Time *
HH:MM</t>
  </si>
  <si>
    <t>To
Date *
DD/MM/YYYY</t>
  </si>
  <si>
    <t>To
Time *
HH:MM</t>
  </si>
  <si>
    <t>No. of
Days
(absenceDays)</t>
  </si>
  <si>
    <t>Bill No.
(billNo)</t>
  </si>
  <si>
    <t>Actual Amt
Rs. *
(claimAmount)</t>
  </si>
  <si>
    <t xml:space="preserve">  LOCAL CONVEYANCE DETAILS  —  Section D</t>
  </si>
  <si>
    <t>From *
(lcFromLocation)</t>
  </si>
  <si>
    <t>To *
(lcToLocation)</t>
  </si>
  <si>
    <t>From Date *
DD/MM/YYYY HH:MM
(lcFromDate)</t>
  </si>
  <si>
    <t>To Date *
DD/MM/YYYY HH:MM
(lcToDate)</t>
  </si>
  <si>
    <t>Mode *
(lcModeofTravel)
Local Train/Bus/Car
Auto Rickshaw/Two Wheeler/Others</t>
  </si>
  <si>
    <t>Km *
(noOfKms)</t>
  </si>
  <si>
    <t>Rate/Km Rs.
(ratePerKM)</t>
  </si>
  <si>
    <t>Actual Amt Rs.
(lcActualAmt)
= Km × Rate</t>
  </si>
  <si>
    <t xml:space="preserve">  MISCELLANEOUS DETAILS  —  Section E</t>
  </si>
  <si>
    <t>Expense Description *
(expenseType)
Note: No Bill No. field on this form</t>
  </si>
  <si>
    <t>Actual Amt Rs. *
(miscellAmount)</t>
  </si>
  <si>
    <t xml:space="preserve">  SETTLEMENT SUMMARY</t>
  </si>
  <si>
    <t>(B)</t>
  </si>
  <si>
    <t>Travel Settlement Amount</t>
  </si>
  <si>
    <t>(C)</t>
  </si>
  <si>
    <t>Boarding &amp; Lodging Amount</t>
  </si>
  <si>
    <t>(D)</t>
  </si>
  <si>
    <t>Local Conveyance Amount</t>
  </si>
  <si>
    <t>(E)</t>
  </si>
  <si>
    <t>Miscellaneous Amount</t>
  </si>
  <si>
    <t>(G)</t>
  </si>
  <si>
    <t>TOTAL SETTLEMENT AMOUNT  (G = B+C+D+E)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</si>
</sst>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92400E"/>
      <name val="Calibri"/>
    </font>
    <font>
      <b/>
      <sz val="11"/>
      <color rgb="FFFFFFFF"/>
      <name val="Calibri"/>
    </font>
    <font>
      <b/>
      <sz val="13"/>
      <color rgb="FF2563EB"/>
      <name val="Calibri"/>
    </font>
    <font>
      <b/>
      <sz val="10"/>
      <color rgb="FFFFFFFF"/>
      <name val="Calibri"/>
    </font>
    <font>
      <sz val="10"/>
      <color rgb="FF1E293B"/>
      <name val="Calibri"/>
    </font>
    <font>
      <i/>
      <sz val="9"/>
      <color rgb="FF475569"/>
      <name val="Calibri"/>
    </font>
    <font>
      <b/>
      <sz val="9"/>
      <color rgb="FFFFFFFF"/>
      <name val="Calibri"/>
    </font>
    <font>
      <b/>
      <sz val="10"/>
      <color rgb="FF1B2A4A"/>
      <name val="Calibri"/>
    </font>
    <font>
      <sz val="10"/>
      <color rgb="FF166534"/>
      <name val="Calibri"/>
    </font>
    <font>
      <b/>
      <sz val="11"/>
      <color rgb="FF1B2A4A"/>
      <name val="Calibri"/>
    </font>
    <font>
      <b/>
      <sz val="12"/>
      <color rgb="FF1B2A4A"/>
      <name val="Calibri"/>
    </font>
    <font>
      <sz val="10"/>
      <color rgb="FF1E293B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7ED"/>
      </patternFill>
    </fill>
    <fill>
      <patternFill patternType="solid">
        <fgColor rgb="FFFEFCE8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EFF6FF"/>
      </patternFill>
    </fill>
    <fill>
      <patternFill patternType="solid">
        <fgColor rgb="FF6D28D9"/>
      </patternFill>
    </fill>
    <fill>
      <patternFill patternType="solid">
        <fgColor rgb="FFF3E8FF"/>
      </patternFill>
    </fill>
    <fill>
      <patternFill patternType="solid">
        <fgColor rgb="FFDBEAFE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" fontId="6" fillId="6" borderId="1" xfId="0" applyNumberFormat="1" applyFont="1" applyFill="1" applyBorder="1" applyAlignment="1">
      <alignment horizontal="center" vertical="center" wrapText="1"/>
    </xf>
    <xf numFmtId="4" fontId="9" fillId="11" borderId="1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 wrapText="1"/>
    </xf>
    <xf numFmtId="1" fontId="6" fillId="6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4" fontId="10" fillId="12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4" fontId="9" fillId="4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left" vertical="center" indent="1"/>
    </xf>
    <xf numFmtId="4" fontId="12" fillId="11" borderId="2" xfId="0" applyNumberFormat="1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4" fontId="6" fillId="4" borderId="1" xfId="0" applyNumberFormat="1" applyFont="1" applyFill="1" applyBorder="1" applyAlignment="1">
      <alignment horizontal="center" vertical="center" wrapText="1"/>
    </xf>
    <xf numFmtId="20" fontId="6" fillId="10" borderId="1" xfId="0" applyNumberFormat="1" applyFont="1" applyFill="1" applyBorder="1" applyAlignment="1">
      <alignment horizontal="center" vertical="center" wrapText="1"/>
    </xf>
    <xf numFmtId="14" fontId="6" fillId="6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5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 t="s">
        <v>13</v>
      </c>
      <c r="E2" t="s">
        <v>4</v>
      </c>
      <c r="G2" t="s">
        <v>14</v>
      </c>
      <c r="H2" t="s">
        <v>15</v>
      </c>
      <c r="I2" t="s">
        <v>16</v>
      </c>
      <c r="J2" t="s">
        <v>17</v>
      </c>
      <c r="K2" t="s">
        <v>14</v>
      </c>
      <c r="L2" t="s">
        <v>11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J3" t="s">
        <v>22</v>
      </c>
      <c r="L3" t="s">
        <v>19</v>
      </c>
    </row>
    <row r="4" spans="1:12" x14ac:dyDescent="0.25">
      <c r="A4" t="s">
        <v>12</v>
      </c>
      <c r="B4" t="s">
        <v>23</v>
      </c>
      <c r="C4" t="s">
        <v>4</v>
      </c>
      <c r="D4" t="s">
        <v>24</v>
      </c>
      <c r="L4" t="s">
        <v>23</v>
      </c>
    </row>
    <row r="5" spans="1:12" x14ac:dyDescent="0.25">
      <c r="B5" t="s">
        <v>25</v>
      </c>
      <c r="D5" t="s">
        <v>26</v>
      </c>
      <c r="L5" t="s">
        <v>25</v>
      </c>
    </row>
    <row r="6" spans="1:12" x14ac:dyDescent="0.25">
      <c r="B6" t="s">
        <v>4</v>
      </c>
      <c r="D6" t="s">
        <v>27</v>
      </c>
      <c r="L6" t="s">
        <v>4</v>
      </c>
    </row>
    <row r="7" spans="1:12" x14ac:dyDescent="0.25">
      <c r="D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4748B"/>
  </sheetPr>
  <dimension ref="B1:C10"/>
  <sheetViews>
    <sheetView showGridLines="0" tabSelected="1" workbookViewId="0">
      <selection activeCell="C19" sqref="C19"/>
    </sheetView>
  </sheetViews>
  <sheetFormatPr defaultRowHeight="15" x14ac:dyDescent="0.25"/>
  <cols>
    <col min="1" max="1" width="3" customWidth="1"/>
    <col min="2" max="2" width="30" customWidth="1"/>
    <col min="3" max="3" width="62" customWidth="1"/>
  </cols>
  <sheetData>
    <row r="1" spans="2:3" ht="32.1" customHeight="1" x14ac:dyDescent="0.25">
      <c r="B1" s="33" t="s">
        <v>28</v>
      </c>
      <c r="C1" s="34"/>
    </row>
    <row r="2" spans="2:3" ht="26.1" customHeight="1" x14ac:dyDescent="0.25">
      <c r="B2" s="35" t="s">
        <v>29</v>
      </c>
      <c r="C2" s="34"/>
    </row>
    <row r="3" spans="2:3" ht="30" customHeight="1" x14ac:dyDescent="0.25">
      <c r="B3" s="1" t="s">
        <v>30</v>
      </c>
      <c r="C3" s="2"/>
    </row>
    <row r="5" spans="2:3" ht="54.95" customHeight="1" x14ac:dyDescent="0.25">
      <c r="B5" s="3" t="s">
        <v>31</v>
      </c>
      <c r="C5" s="4" t="s">
        <v>32</v>
      </c>
    </row>
    <row r="6" spans="2:3" ht="54.95" customHeight="1" x14ac:dyDescent="0.25">
      <c r="B6" s="3" t="s">
        <v>33</v>
      </c>
      <c r="C6" s="5" t="s">
        <v>34</v>
      </c>
    </row>
    <row r="7" spans="2:3" ht="54.95" customHeight="1" x14ac:dyDescent="0.25">
      <c r="B7" s="3" t="s">
        <v>35</v>
      </c>
      <c r="C7" s="4" t="s">
        <v>36</v>
      </c>
    </row>
    <row r="8" spans="2:3" ht="54.95" customHeight="1" x14ac:dyDescent="0.25">
      <c r="B8" s="3" t="s">
        <v>37</v>
      </c>
      <c r="C8" s="5" t="s">
        <v>38</v>
      </c>
    </row>
    <row r="9" spans="2:3" ht="54.95" customHeight="1" x14ac:dyDescent="0.25">
      <c r="B9" s="3" t="s">
        <v>39</v>
      </c>
      <c r="C9" s="4" t="s">
        <v>40</v>
      </c>
    </row>
    <row r="10" spans="2:3" ht="54.95" customHeight="1" x14ac:dyDescent="0.25">
      <c r="B10" s="3" t="s">
        <v>41</v>
      </c>
      <c r="C10" s="5" t="s">
        <v>42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563EB"/>
  </sheetPr>
  <dimension ref="A1:M24"/>
  <sheetViews>
    <sheetView showGridLines="0" workbookViewId="0">
      <selection activeCell="P13" sqref="P13"/>
    </sheetView>
  </sheetViews>
  <sheetFormatPr defaultRowHeight="15" x14ac:dyDescent="0.25"/>
  <cols>
    <col min="1" max="1" width="4" customWidth="1"/>
    <col min="2" max="3" width="20" customWidth="1"/>
    <col min="4" max="4" width="16" customWidth="1"/>
    <col min="5" max="5" width="11" customWidth="1"/>
    <col min="6" max="6" width="16" customWidth="1"/>
    <col min="7" max="7" width="11" customWidth="1"/>
    <col min="8" max="8" width="12" customWidth="1"/>
    <col min="9" max="9" width="16" customWidth="1"/>
    <col min="10" max="10" width="20" customWidth="1"/>
    <col min="11" max="11" width="13" customWidth="1"/>
    <col min="12" max="12" width="16" customWidth="1"/>
    <col min="13" max="13" width="13" customWidth="1"/>
  </cols>
  <sheetData>
    <row r="1" spans="1:13" ht="24" customHeight="1" x14ac:dyDescent="0.25">
      <c r="A1" s="38" t="s">
        <v>43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15.95" customHeight="1" x14ac:dyDescent="0.25">
      <c r="A2" s="37" t="s">
        <v>44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44.1" customHeight="1" x14ac:dyDescent="0.25">
      <c r="A3" s="6" t="s">
        <v>45</v>
      </c>
      <c r="B3" s="6" t="s">
        <v>46</v>
      </c>
      <c r="C3" s="6" t="s">
        <v>47</v>
      </c>
      <c r="D3" s="6" t="s">
        <v>48</v>
      </c>
      <c r="E3" s="7" t="s">
        <v>49</v>
      </c>
      <c r="F3" s="6" t="s">
        <v>50</v>
      </c>
      <c r="G3" s="7" t="s">
        <v>51</v>
      </c>
      <c r="H3" s="6" t="s">
        <v>52</v>
      </c>
      <c r="I3" s="6" t="s">
        <v>53</v>
      </c>
      <c r="J3" s="6" t="s">
        <v>54</v>
      </c>
      <c r="K3" s="6" t="s">
        <v>55</v>
      </c>
      <c r="L3" s="6" t="s">
        <v>56</v>
      </c>
      <c r="M3" s="6" t="s">
        <v>57</v>
      </c>
    </row>
    <row r="4" spans="1:13" ht="20.100000000000001" customHeight="1" x14ac:dyDescent="0.25">
      <c r="A4" s="8">
        <v>1</v>
      </c>
      <c r="B4" s="9"/>
      <c r="C4" s="9"/>
      <c r="D4" s="30"/>
      <c r="E4" s="31"/>
      <c r="F4" s="30"/>
      <c r="G4" s="31"/>
      <c r="H4" s="9" t="s">
        <v>6</v>
      </c>
      <c r="I4" s="9" t="s">
        <v>1</v>
      </c>
      <c r="J4" s="9" t="s">
        <v>11</v>
      </c>
      <c r="K4" s="9" t="s">
        <v>5</v>
      </c>
      <c r="L4" s="9"/>
      <c r="M4" s="11">
        <v>0</v>
      </c>
    </row>
    <row r="5" spans="1:13" ht="20.100000000000001" customHeight="1" x14ac:dyDescent="0.25">
      <c r="A5" s="8">
        <v>2</v>
      </c>
      <c r="B5" s="28"/>
      <c r="C5" s="29"/>
      <c r="D5" s="30"/>
      <c r="E5" s="31"/>
      <c r="F5" s="30"/>
      <c r="G5" s="31"/>
      <c r="H5" s="12" t="s">
        <v>6</v>
      </c>
      <c r="I5" s="12" t="s">
        <v>1</v>
      </c>
      <c r="J5" s="12" t="s">
        <v>11</v>
      </c>
      <c r="K5" s="12" t="s">
        <v>5</v>
      </c>
      <c r="L5" s="12"/>
      <c r="M5" s="13">
        <v>0</v>
      </c>
    </row>
    <row r="6" spans="1:13" ht="20.100000000000001" customHeight="1" x14ac:dyDescent="0.25">
      <c r="A6" s="8">
        <v>3</v>
      </c>
      <c r="B6" s="28"/>
      <c r="C6" s="28"/>
      <c r="D6" s="30"/>
      <c r="E6" s="31"/>
      <c r="F6" s="30"/>
      <c r="G6" s="31"/>
      <c r="H6" s="9" t="s">
        <v>6</v>
      </c>
      <c r="I6" s="9" t="s">
        <v>1</v>
      </c>
      <c r="J6" s="9" t="s">
        <v>11</v>
      </c>
      <c r="K6" s="9" t="s">
        <v>5</v>
      </c>
      <c r="L6" s="9"/>
      <c r="M6" s="11">
        <v>0</v>
      </c>
    </row>
    <row r="7" spans="1:13" ht="20.100000000000001" customHeight="1" x14ac:dyDescent="0.25">
      <c r="A7" s="8">
        <v>4</v>
      </c>
      <c r="B7" s="12"/>
      <c r="C7" s="12"/>
      <c r="D7" s="9"/>
      <c r="E7" s="10"/>
      <c r="F7" s="9"/>
      <c r="G7" s="10"/>
      <c r="H7" s="12" t="s">
        <v>6</v>
      </c>
      <c r="I7" s="12" t="s">
        <v>1</v>
      </c>
      <c r="J7" s="12" t="s">
        <v>11</v>
      </c>
      <c r="K7" s="12" t="s">
        <v>5</v>
      </c>
      <c r="L7" s="12"/>
      <c r="M7" s="13">
        <v>0</v>
      </c>
    </row>
    <row r="8" spans="1:13" ht="20.100000000000001" customHeight="1" x14ac:dyDescent="0.25">
      <c r="A8" s="8">
        <v>5</v>
      </c>
      <c r="B8" s="9"/>
      <c r="C8" s="9"/>
      <c r="D8" s="9"/>
      <c r="E8" s="10"/>
      <c r="F8" s="9"/>
      <c r="G8" s="10"/>
      <c r="H8" s="9" t="s">
        <v>6</v>
      </c>
      <c r="I8" s="9" t="s">
        <v>1</v>
      </c>
      <c r="J8" s="9" t="s">
        <v>11</v>
      </c>
      <c r="K8" s="9" t="s">
        <v>5</v>
      </c>
      <c r="L8" s="9"/>
      <c r="M8" s="11">
        <v>0</v>
      </c>
    </row>
    <row r="9" spans="1:13" ht="20.100000000000001" customHeight="1" x14ac:dyDescent="0.25">
      <c r="A9" s="8">
        <v>6</v>
      </c>
      <c r="B9" s="12"/>
      <c r="C9" s="12"/>
      <c r="D9" s="9"/>
      <c r="E9" s="10"/>
      <c r="F9" s="9"/>
      <c r="G9" s="10"/>
      <c r="H9" s="12" t="s">
        <v>6</v>
      </c>
      <c r="I9" s="12" t="s">
        <v>1</v>
      </c>
      <c r="J9" s="12" t="s">
        <v>11</v>
      </c>
      <c r="K9" s="12" t="s">
        <v>5</v>
      </c>
      <c r="L9" s="12"/>
      <c r="M9" s="13">
        <v>0</v>
      </c>
    </row>
    <row r="10" spans="1:13" ht="20.100000000000001" customHeight="1" x14ac:dyDescent="0.25">
      <c r="A10" s="8">
        <v>7</v>
      </c>
      <c r="B10" s="9"/>
      <c r="C10" s="9"/>
      <c r="D10" s="9"/>
      <c r="E10" s="10"/>
      <c r="F10" s="9"/>
      <c r="G10" s="10"/>
      <c r="H10" s="9" t="s">
        <v>6</v>
      </c>
      <c r="I10" s="9" t="s">
        <v>1</v>
      </c>
      <c r="J10" s="9" t="s">
        <v>11</v>
      </c>
      <c r="K10" s="9" t="s">
        <v>5</v>
      </c>
      <c r="L10" s="9"/>
      <c r="M10" s="11">
        <v>0</v>
      </c>
    </row>
    <row r="11" spans="1:13" ht="20.100000000000001" customHeight="1" x14ac:dyDescent="0.25">
      <c r="A11" s="8">
        <v>8</v>
      </c>
      <c r="B11" s="12"/>
      <c r="C11" s="12"/>
      <c r="D11" s="9"/>
      <c r="E11" s="10"/>
      <c r="F11" s="9"/>
      <c r="G11" s="10"/>
      <c r="H11" s="12" t="s">
        <v>6</v>
      </c>
      <c r="I11" s="12" t="s">
        <v>1</v>
      </c>
      <c r="J11" s="12" t="s">
        <v>11</v>
      </c>
      <c r="K11" s="12" t="s">
        <v>5</v>
      </c>
      <c r="L11" s="12"/>
      <c r="M11" s="13">
        <v>0</v>
      </c>
    </row>
    <row r="12" spans="1:13" ht="20.100000000000001" customHeight="1" x14ac:dyDescent="0.25">
      <c r="A12" s="8">
        <v>9</v>
      </c>
      <c r="B12" s="9"/>
      <c r="C12" s="9"/>
      <c r="D12" s="9"/>
      <c r="E12" s="10"/>
      <c r="F12" s="9"/>
      <c r="G12" s="10"/>
      <c r="H12" s="9" t="s">
        <v>6</v>
      </c>
      <c r="I12" s="9" t="s">
        <v>1</v>
      </c>
      <c r="J12" s="9" t="s">
        <v>11</v>
      </c>
      <c r="K12" s="9" t="s">
        <v>5</v>
      </c>
      <c r="L12" s="9"/>
      <c r="M12" s="11">
        <v>0</v>
      </c>
    </row>
    <row r="13" spans="1:13" ht="20.100000000000001" customHeight="1" x14ac:dyDescent="0.25">
      <c r="A13" s="8">
        <v>10</v>
      </c>
      <c r="B13" s="12"/>
      <c r="C13" s="12"/>
      <c r="D13" s="9"/>
      <c r="E13" s="10"/>
      <c r="F13" s="9"/>
      <c r="G13" s="10"/>
      <c r="H13" s="12" t="s">
        <v>6</v>
      </c>
      <c r="I13" s="12" t="s">
        <v>1</v>
      </c>
      <c r="J13" s="12" t="s">
        <v>11</v>
      </c>
      <c r="K13" s="12" t="s">
        <v>5</v>
      </c>
      <c r="L13" s="12"/>
      <c r="M13" s="13">
        <v>0</v>
      </c>
    </row>
    <row r="14" spans="1:13" ht="20.100000000000001" customHeight="1" x14ac:dyDescent="0.25">
      <c r="A14" s="8">
        <v>11</v>
      </c>
      <c r="B14" s="9"/>
      <c r="C14" s="9"/>
      <c r="D14" s="9"/>
      <c r="E14" s="10"/>
      <c r="F14" s="9"/>
      <c r="G14" s="10"/>
      <c r="H14" s="9" t="s">
        <v>6</v>
      </c>
      <c r="I14" s="9" t="s">
        <v>1</v>
      </c>
      <c r="J14" s="9" t="s">
        <v>11</v>
      </c>
      <c r="K14" s="9" t="s">
        <v>5</v>
      </c>
      <c r="L14" s="9"/>
      <c r="M14" s="11">
        <v>0</v>
      </c>
    </row>
    <row r="15" spans="1:13" ht="20.100000000000001" customHeight="1" x14ac:dyDescent="0.25">
      <c r="A15" s="8">
        <v>12</v>
      </c>
      <c r="B15" s="12"/>
      <c r="C15" s="12"/>
      <c r="D15" s="9"/>
      <c r="E15" s="10"/>
      <c r="F15" s="9"/>
      <c r="G15" s="10"/>
      <c r="H15" s="12" t="s">
        <v>6</v>
      </c>
      <c r="I15" s="12" t="s">
        <v>1</v>
      </c>
      <c r="J15" s="12" t="s">
        <v>11</v>
      </c>
      <c r="K15" s="12" t="s">
        <v>5</v>
      </c>
      <c r="L15" s="12"/>
      <c r="M15" s="13">
        <v>0</v>
      </c>
    </row>
    <row r="16" spans="1:13" ht="20.100000000000001" customHeight="1" x14ac:dyDescent="0.25">
      <c r="A16" s="8">
        <v>13</v>
      </c>
      <c r="B16" s="9"/>
      <c r="C16" s="9"/>
      <c r="D16" s="9"/>
      <c r="E16" s="10"/>
      <c r="F16" s="9"/>
      <c r="G16" s="10"/>
      <c r="H16" s="9" t="s">
        <v>6</v>
      </c>
      <c r="I16" s="9" t="s">
        <v>1</v>
      </c>
      <c r="J16" s="9" t="s">
        <v>11</v>
      </c>
      <c r="K16" s="9" t="s">
        <v>5</v>
      </c>
      <c r="L16" s="9"/>
      <c r="M16" s="11">
        <v>0</v>
      </c>
    </row>
    <row r="17" spans="1:13" ht="20.100000000000001" customHeight="1" x14ac:dyDescent="0.25">
      <c r="A17" s="8">
        <v>14</v>
      </c>
      <c r="B17" s="12"/>
      <c r="C17" s="12"/>
      <c r="D17" s="9"/>
      <c r="E17" s="10"/>
      <c r="F17" s="9"/>
      <c r="G17" s="10"/>
      <c r="H17" s="12" t="s">
        <v>6</v>
      </c>
      <c r="I17" s="12" t="s">
        <v>1</v>
      </c>
      <c r="J17" s="12" t="s">
        <v>11</v>
      </c>
      <c r="K17" s="12" t="s">
        <v>5</v>
      </c>
      <c r="L17" s="12"/>
      <c r="M17" s="13">
        <v>0</v>
      </c>
    </row>
    <row r="18" spans="1:13" ht="20.100000000000001" customHeight="1" x14ac:dyDescent="0.25">
      <c r="A18" s="8">
        <v>15</v>
      </c>
      <c r="B18" s="9"/>
      <c r="C18" s="9"/>
      <c r="D18" s="9"/>
      <c r="E18" s="10"/>
      <c r="F18" s="9"/>
      <c r="G18" s="10"/>
      <c r="H18" s="9" t="s">
        <v>6</v>
      </c>
      <c r="I18" s="9" t="s">
        <v>1</v>
      </c>
      <c r="J18" s="9" t="s">
        <v>11</v>
      </c>
      <c r="K18" s="9" t="s">
        <v>5</v>
      </c>
      <c r="L18" s="9"/>
      <c r="M18" s="11">
        <v>0</v>
      </c>
    </row>
    <row r="19" spans="1:13" ht="20.100000000000001" customHeight="1" x14ac:dyDescent="0.25">
      <c r="A19" s="8">
        <v>16</v>
      </c>
      <c r="B19" s="12"/>
      <c r="C19" s="12"/>
      <c r="D19" s="9"/>
      <c r="E19" s="10"/>
      <c r="F19" s="9"/>
      <c r="G19" s="10"/>
      <c r="H19" s="12" t="s">
        <v>6</v>
      </c>
      <c r="I19" s="12" t="s">
        <v>1</v>
      </c>
      <c r="J19" s="12" t="s">
        <v>11</v>
      </c>
      <c r="K19" s="12" t="s">
        <v>5</v>
      </c>
      <c r="L19" s="12"/>
      <c r="M19" s="13">
        <v>0</v>
      </c>
    </row>
    <row r="20" spans="1:13" ht="20.100000000000001" customHeight="1" x14ac:dyDescent="0.25">
      <c r="A20" s="8">
        <v>17</v>
      </c>
      <c r="B20" s="9"/>
      <c r="C20" s="9"/>
      <c r="D20" s="9"/>
      <c r="E20" s="10"/>
      <c r="F20" s="9"/>
      <c r="G20" s="10"/>
      <c r="H20" s="9" t="s">
        <v>6</v>
      </c>
      <c r="I20" s="9" t="s">
        <v>1</v>
      </c>
      <c r="J20" s="9" t="s">
        <v>11</v>
      </c>
      <c r="K20" s="9" t="s">
        <v>5</v>
      </c>
      <c r="L20" s="9"/>
      <c r="M20" s="11">
        <v>0</v>
      </c>
    </row>
    <row r="21" spans="1:13" ht="20.100000000000001" customHeight="1" x14ac:dyDescent="0.25">
      <c r="A21" s="8">
        <v>18</v>
      </c>
      <c r="B21" s="12"/>
      <c r="C21" s="12"/>
      <c r="D21" s="9"/>
      <c r="E21" s="10"/>
      <c r="F21" s="9"/>
      <c r="G21" s="10"/>
      <c r="H21" s="12" t="s">
        <v>6</v>
      </c>
      <c r="I21" s="12" t="s">
        <v>1</v>
      </c>
      <c r="J21" s="12" t="s">
        <v>11</v>
      </c>
      <c r="K21" s="12" t="s">
        <v>5</v>
      </c>
      <c r="L21" s="12"/>
      <c r="M21" s="13">
        <v>0</v>
      </c>
    </row>
    <row r="22" spans="1:13" ht="20.100000000000001" customHeight="1" x14ac:dyDescent="0.25">
      <c r="A22" s="8">
        <v>19</v>
      </c>
      <c r="B22" s="9"/>
      <c r="C22" s="9"/>
      <c r="D22" s="9"/>
      <c r="E22" s="10"/>
      <c r="F22" s="9"/>
      <c r="G22" s="10"/>
      <c r="H22" s="9" t="s">
        <v>6</v>
      </c>
      <c r="I22" s="9" t="s">
        <v>1</v>
      </c>
      <c r="J22" s="9" t="s">
        <v>11</v>
      </c>
      <c r="K22" s="9" t="s">
        <v>5</v>
      </c>
      <c r="L22" s="9"/>
      <c r="M22" s="11">
        <v>0</v>
      </c>
    </row>
    <row r="23" spans="1:13" ht="20.100000000000001" customHeight="1" x14ac:dyDescent="0.25">
      <c r="A23" s="8">
        <v>20</v>
      </c>
      <c r="B23" s="12"/>
      <c r="C23" s="12"/>
      <c r="D23" s="9"/>
      <c r="E23" s="10"/>
      <c r="F23" s="9"/>
      <c r="G23" s="10"/>
      <c r="H23" s="12" t="s">
        <v>6</v>
      </c>
      <c r="I23" s="12" t="s">
        <v>1</v>
      </c>
      <c r="J23" s="12" t="s">
        <v>11</v>
      </c>
      <c r="K23" s="12" t="s">
        <v>5</v>
      </c>
      <c r="L23" s="12"/>
      <c r="M23" s="13">
        <v>0</v>
      </c>
    </row>
    <row r="24" spans="1:13" x14ac:dyDescent="0.25">
      <c r="A24" s="36" t="s">
        <v>58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14">
        <f>SUM(M4:M23)</f>
        <v>0</v>
      </c>
    </row>
  </sheetData>
  <mergeCells count="3">
    <mergeCell ref="A24:L24"/>
    <mergeCell ref="A2:M2"/>
    <mergeCell ref="A1:M1"/>
  </mergeCells>
  <dataValidations count="4">
    <dataValidation type="list" allowBlank="1" sqref="I4:I23" xr:uid="{00000000-0002-0000-0200-000000000000}">
      <formula1>Mode_List</formula1>
    </dataValidation>
    <dataValidation type="list" allowBlank="1" sqref="H4:H23" xr:uid="{00000000-0002-0000-0200-000001000000}">
      <formula1>Relaxation</formula1>
    </dataValidation>
    <dataValidation type="list" allowBlank="1" sqref="K4:K23" xr:uid="{00000000-0002-0000-0200-000002000000}">
      <formula1>Booked_By</formula1>
    </dataValidation>
    <dataValidation type="list" allowBlank="1" sqref="J4:J23" xr:uid="{00000000-0002-0000-0200-000003000000}">
      <formula1>INDIRECT(SUBSTITUTE(I4," ","_"))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6A34A"/>
  </sheetPr>
  <dimension ref="A1:K24"/>
  <sheetViews>
    <sheetView showGridLines="0" workbookViewId="0">
      <selection activeCell="J14" sqref="J14"/>
    </sheetView>
  </sheetViews>
  <sheetFormatPr defaultRowHeight="15" x14ac:dyDescent="0.25"/>
  <cols>
    <col min="1" max="1" width="4" customWidth="1"/>
    <col min="2" max="2" width="22" customWidth="1"/>
    <col min="3" max="3" width="20" customWidth="1"/>
    <col min="4" max="4" width="14" customWidth="1"/>
    <col min="5" max="5" width="16" customWidth="1"/>
    <col min="6" max="6" width="11" customWidth="1"/>
    <col min="7" max="7" width="16" customWidth="1"/>
    <col min="8" max="9" width="11" customWidth="1"/>
    <col min="10" max="11" width="16" customWidth="1"/>
  </cols>
  <sheetData>
    <row r="1" spans="1:11" ht="24" customHeight="1" x14ac:dyDescent="0.25">
      <c r="A1" s="38" t="s">
        <v>59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ht="15.95" customHeight="1" x14ac:dyDescent="0.25">
      <c r="A2" s="37" t="s">
        <v>44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ht="44.1" customHeight="1" x14ac:dyDescent="0.25">
      <c r="A3" s="6" t="s">
        <v>45</v>
      </c>
      <c r="B3" s="6" t="s">
        <v>60</v>
      </c>
      <c r="C3" s="6" t="s">
        <v>61</v>
      </c>
      <c r="D3" s="6" t="s">
        <v>62</v>
      </c>
      <c r="E3" s="6" t="s">
        <v>63</v>
      </c>
      <c r="F3" s="7" t="s">
        <v>64</v>
      </c>
      <c r="G3" s="6" t="s">
        <v>65</v>
      </c>
      <c r="H3" s="7" t="s">
        <v>66</v>
      </c>
      <c r="I3" s="6" t="s">
        <v>67</v>
      </c>
      <c r="J3" s="6" t="s">
        <v>68</v>
      </c>
      <c r="K3" s="6" t="s">
        <v>69</v>
      </c>
    </row>
    <row r="4" spans="1:11" ht="20.100000000000001" customHeight="1" x14ac:dyDescent="0.25">
      <c r="A4" s="8">
        <v>1</v>
      </c>
      <c r="B4" s="9"/>
      <c r="C4" s="9"/>
      <c r="D4" s="9" t="s">
        <v>5</v>
      </c>
      <c r="E4" s="30"/>
      <c r="F4" s="31"/>
      <c r="G4" s="30"/>
      <c r="H4" s="31"/>
      <c r="I4" s="15">
        <v>0</v>
      </c>
      <c r="J4" s="9"/>
      <c r="K4" s="11">
        <v>0</v>
      </c>
    </row>
    <row r="5" spans="1:11" ht="20.100000000000001" customHeight="1" x14ac:dyDescent="0.25">
      <c r="A5" s="8">
        <v>2</v>
      </c>
      <c r="B5" s="12"/>
      <c r="C5" s="12"/>
      <c r="D5" s="12" t="s">
        <v>5</v>
      </c>
      <c r="E5" s="32"/>
      <c r="F5" s="31"/>
      <c r="G5" s="32"/>
      <c r="H5" s="31"/>
      <c r="I5" s="16">
        <v>0</v>
      </c>
      <c r="J5" s="12"/>
      <c r="K5" s="13">
        <v>0</v>
      </c>
    </row>
    <row r="6" spans="1:11" ht="20.100000000000001" customHeight="1" x14ac:dyDescent="0.25">
      <c r="A6" s="8">
        <v>3</v>
      </c>
      <c r="B6" s="9"/>
      <c r="C6" s="9"/>
      <c r="D6" s="9" t="s">
        <v>5</v>
      </c>
      <c r="E6" s="9"/>
      <c r="F6" s="10"/>
      <c r="G6" s="9"/>
      <c r="H6" s="10"/>
      <c r="I6" s="15">
        <v>0</v>
      </c>
      <c r="J6" s="9"/>
      <c r="K6" s="11">
        <v>0</v>
      </c>
    </row>
    <row r="7" spans="1:11" ht="20.100000000000001" customHeight="1" x14ac:dyDescent="0.25">
      <c r="A7" s="8">
        <v>4</v>
      </c>
      <c r="B7" s="12"/>
      <c r="C7" s="12"/>
      <c r="D7" s="12" t="s">
        <v>5</v>
      </c>
      <c r="E7" s="9"/>
      <c r="F7" s="10"/>
      <c r="G7" s="9"/>
      <c r="H7" s="10"/>
      <c r="I7" s="16">
        <v>0</v>
      </c>
      <c r="J7" s="12"/>
      <c r="K7" s="13">
        <v>0</v>
      </c>
    </row>
    <row r="8" spans="1:11" ht="20.100000000000001" customHeight="1" x14ac:dyDescent="0.25">
      <c r="A8" s="8">
        <v>5</v>
      </c>
      <c r="B8" s="9"/>
      <c r="C8" s="9"/>
      <c r="D8" s="9" t="s">
        <v>5</v>
      </c>
      <c r="E8" s="9"/>
      <c r="F8" s="10"/>
      <c r="G8" s="9"/>
      <c r="H8" s="10"/>
      <c r="I8" s="15">
        <v>0</v>
      </c>
      <c r="J8" s="9"/>
      <c r="K8" s="11">
        <v>0</v>
      </c>
    </row>
    <row r="9" spans="1:11" ht="20.100000000000001" customHeight="1" x14ac:dyDescent="0.25">
      <c r="A9" s="8">
        <v>6</v>
      </c>
      <c r="B9" s="12"/>
      <c r="C9" s="12"/>
      <c r="D9" s="12" t="s">
        <v>5</v>
      </c>
      <c r="E9" s="9"/>
      <c r="F9" s="10"/>
      <c r="G9" s="9"/>
      <c r="H9" s="10"/>
      <c r="I9" s="16">
        <v>0</v>
      </c>
      <c r="J9" s="12"/>
      <c r="K9" s="13">
        <v>0</v>
      </c>
    </row>
    <row r="10" spans="1:11" ht="20.100000000000001" customHeight="1" x14ac:dyDescent="0.25">
      <c r="A10" s="8">
        <v>7</v>
      </c>
      <c r="B10" s="9"/>
      <c r="C10" s="9"/>
      <c r="D10" s="9" t="s">
        <v>5</v>
      </c>
      <c r="E10" s="9"/>
      <c r="F10" s="10"/>
      <c r="G10" s="9"/>
      <c r="H10" s="10"/>
      <c r="I10" s="15">
        <v>0</v>
      </c>
      <c r="J10" s="9"/>
      <c r="K10" s="11">
        <v>0</v>
      </c>
    </row>
    <row r="11" spans="1:11" ht="20.100000000000001" customHeight="1" x14ac:dyDescent="0.25">
      <c r="A11" s="8">
        <v>8</v>
      </c>
      <c r="B11" s="12"/>
      <c r="C11" s="12"/>
      <c r="D11" s="12" t="s">
        <v>5</v>
      </c>
      <c r="E11" s="9"/>
      <c r="F11" s="10"/>
      <c r="G11" s="9"/>
      <c r="H11" s="10"/>
      <c r="I11" s="16">
        <v>0</v>
      </c>
      <c r="J11" s="12"/>
      <c r="K11" s="13">
        <v>0</v>
      </c>
    </row>
    <row r="12" spans="1:11" ht="20.100000000000001" customHeight="1" x14ac:dyDescent="0.25">
      <c r="A12" s="8">
        <v>9</v>
      </c>
      <c r="B12" s="9"/>
      <c r="C12" s="9"/>
      <c r="D12" s="9" t="s">
        <v>5</v>
      </c>
      <c r="E12" s="9"/>
      <c r="F12" s="10"/>
      <c r="G12" s="9"/>
      <c r="H12" s="10"/>
      <c r="I12" s="15">
        <v>0</v>
      </c>
      <c r="J12" s="9"/>
      <c r="K12" s="11">
        <v>0</v>
      </c>
    </row>
    <row r="13" spans="1:11" ht="20.100000000000001" customHeight="1" x14ac:dyDescent="0.25">
      <c r="A13" s="8">
        <v>10</v>
      </c>
      <c r="B13" s="12"/>
      <c r="C13" s="12"/>
      <c r="D13" s="12" t="s">
        <v>5</v>
      </c>
      <c r="E13" s="9"/>
      <c r="F13" s="10"/>
      <c r="G13" s="9"/>
      <c r="H13" s="10"/>
      <c r="I13" s="16">
        <v>0</v>
      </c>
      <c r="J13" s="12"/>
      <c r="K13" s="13">
        <v>0</v>
      </c>
    </row>
    <row r="14" spans="1:11" ht="20.100000000000001" customHeight="1" x14ac:dyDescent="0.25">
      <c r="A14" s="8">
        <v>11</v>
      </c>
      <c r="B14" s="9"/>
      <c r="C14" s="9"/>
      <c r="D14" s="9" t="s">
        <v>5</v>
      </c>
      <c r="E14" s="9"/>
      <c r="F14" s="10"/>
      <c r="G14" s="9"/>
      <c r="H14" s="10"/>
      <c r="I14" s="15">
        <v>0</v>
      </c>
      <c r="J14" s="9"/>
      <c r="K14" s="11">
        <v>0</v>
      </c>
    </row>
    <row r="15" spans="1:11" ht="20.100000000000001" customHeight="1" x14ac:dyDescent="0.25">
      <c r="A15" s="8">
        <v>12</v>
      </c>
      <c r="B15" s="12"/>
      <c r="C15" s="12"/>
      <c r="D15" s="12" t="s">
        <v>5</v>
      </c>
      <c r="E15" s="9"/>
      <c r="F15" s="10"/>
      <c r="G15" s="9"/>
      <c r="H15" s="10"/>
      <c r="I15" s="16">
        <v>0</v>
      </c>
      <c r="J15" s="12"/>
      <c r="K15" s="13">
        <v>0</v>
      </c>
    </row>
    <row r="16" spans="1:11" ht="20.100000000000001" customHeight="1" x14ac:dyDescent="0.25">
      <c r="A16" s="8">
        <v>13</v>
      </c>
      <c r="B16" s="9"/>
      <c r="C16" s="9"/>
      <c r="D16" s="9" t="s">
        <v>5</v>
      </c>
      <c r="E16" s="9"/>
      <c r="F16" s="10"/>
      <c r="G16" s="9"/>
      <c r="H16" s="10"/>
      <c r="I16" s="15">
        <v>0</v>
      </c>
      <c r="J16" s="9"/>
      <c r="K16" s="11">
        <v>0</v>
      </c>
    </row>
    <row r="17" spans="1:11" ht="20.100000000000001" customHeight="1" x14ac:dyDescent="0.25">
      <c r="A17" s="8">
        <v>14</v>
      </c>
      <c r="B17" s="12"/>
      <c r="C17" s="12"/>
      <c r="D17" s="12" t="s">
        <v>5</v>
      </c>
      <c r="E17" s="9"/>
      <c r="F17" s="10"/>
      <c r="G17" s="9"/>
      <c r="H17" s="10"/>
      <c r="I17" s="16">
        <v>0</v>
      </c>
      <c r="J17" s="12"/>
      <c r="K17" s="13">
        <v>0</v>
      </c>
    </row>
    <row r="18" spans="1:11" ht="20.100000000000001" customHeight="1" x14ac:dyDescent="0.25">
      <c r="A18" s="8">
        <v>15</v>
      </c>
      <c r="B18" s="9"/>
      <c r="C18" s="9"/>
      <c r="D18" s="9" t="s">
        <v>5</v>
      </c>
      <c r="E18" s="9"/>
      <c r="F18" s="10"/>
      <c r="G18" s="9"/>
      <c r="H18" s="10"/>
      <c r="I18" s="15">
        <v>0</v>
      </c>
      <c r="J18" s="9"/>
      <c r="K18" s="11">
        <v>0</v>
      </c>
    </row>
    <row r="19" spans="1:11" ht="20.100000000000001" customHeight="1" x14ac:dyDescent="0.25">
      <c r="A19" s="8">
        <v>16</v>
      </c>
      <c r="B19" s="12"/>
      <c r="C19" s="12"/>
      <c r="D19" s="12" t="s">
        <v>5</v>
      </c>
      <c r="E19" s="9"/>
      <c r="F19" s="10"/>
      <c r="G19" s="9"/>
      <c r="H19" s="10"/>
      <c r="I19" s="16">
        <v>0</v>
      </c>
      <c r="J19" s="12"/>
      <c r="K19" s="13">
        <v>0</v>
      </c>
    </row>
    <row r="20" spans="1:11" ht="20.100000000000001" customHeight="1" x14ac:dyDescent="0.25">
      <c r="A20" s="8">
        <v>17</v>
      </c>
      <c r="B20" s="9"/>
      <c r="C20" s="9"/>
      <c r="D20" s="9" t="s">
        <v>5</v>
      </c>
      <c r="E20" s="9"/>
      <c r="F20" s="10"/>
      <c r="G20" s="9"/>
      <c r="H20" s="10"/>
      <c r="I20" s="15">
        <v>0</v>
      </c>
      <c r="J20" s="9"/>
      <c r="K20" s="11">
        <v>0</v>
      </c>
    </row>
    <row r="21" spans="1:11" ht="20.100000000000001" customHeight="1" x14ac:dyDescent="0.25">
      <c r="A21" s="8">
        <v>18</v>
      </c>
      <c r="B21" s="12"/>
      <c r="C21" s="12"/>
      <c r="D21" s="12" t="s">
        <v>5</v>
      </c>
      <c r="E21" s="9"/>
      <c r="F21" s="10"/>
      <c r="G21" s="9"/>
      <c r="H21" s="10"/>
      <c r="I21" s="16">
        <v>0</v>
      </c>
      <c r="J21" s="12"/>
      <c r="K21" s="13">
        <v>0</v>
      </c>
    </row>
    <row r="22" spans="1:11" ht="20.100000000000001" customHeight="1" x14ac:dyDescent="0.25">
      <c r="A22" s="8">
        <v>19</v>
      </c>
      <c r="B22" s="9"/>
      <c r="C22" s="9"/>
      <c r="D22" s="9" t="s">
        <v>5</v>
      </c>
      <c r="E22" s="9"/>
      <c r="F22" s="10"/>
      <c r="G22" s="9"/>
      <c r="H22" s="10"/>
      <c r="I22" s="15">
        <v>0</v>
      </c>
      <c r="J22" s="9"/>
      <c r="K22" s="11">
        <v>0</v>
      </c>
    </row>
    <row r="23" spans="1:11" ht="20.100000000000001" customHeight="1" x14ac:dyDescent="0.25">
      <c r="A23" s="8">
        <v>20</v>
      </c>
      <c r="B23" s="12"/>
      <c r="C23" s="12"/>
      <c r="D23" s="12" t="s">
        <v>5</v>
      </c>
      <c r="E23" s="9"/>
      <c r="F23" s="10"/>
      <c r="G23" s="9"/>
      <c r="H23" s="10"/>
      <c r="I23" s="16">
        <v>0</v>
      </c>
      <c r="J23" s="12"/>
      <c r="K23" s="13">
        <v>0</v>
      </c>
    </row>
    <row r="24" spans="1:11" x14ac:dyDescent="0.25">
      <c r="A24" s="36" t="s">
        <v>58</v>
      </c>
      <c r="B24" s="34"/>
      <c r="C24" s="34"/>
      <c r="D24" s="34"/>
      <c r="E24" s="34"/>
      <c r="F24" s="34"/>
      <c r="G24" s="34"/>
      <c r="H24" s="34"/>
      <c r="I24" s="34"/>
      <c r="J24" s="34"/>
      <c r="K24" s="14">
        <f>SUM(K4:K23)</f>
        <v>0</v>
      </c>
    </row>
  </sheetData>
  <mergeCells count="3">
    <mergeCell ref="A2:K2"/>
    <mergeCell ref="A1:K1"/>
    <mergeCell ref="A24:J24"/>
  </mergeCells>
  <dataValidations count="3">
    <dataValidation type="list" allowBlank="1" sqref="B4:B23" xr:uid="{00000000-0002-0000-0300-000000000000}">
      <formula1>BL_Type</formula1>
    </dataValidation>
    <dataValidation type="list" allowBlank="1" sqref="C4:C23" xr:uid="{00000000-0002-0000-0300-000001000000}">
      <formula1>BL_AccType</formula1>
    </dataValidation>
    <dataValidation type="list" allowBlank="1" sqref="D4:D23" xr:uid="{00000000-0002-0000-0300-000002000000}">
      <formula1>BL_BookedBy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A580C"/>
  </sheetPr>
  <dimension ref="A1:I23"/>
  <sheetViews>
    <sheetView showGridLines="0" workbookViewId="0">
      <selection sqref="A1:I1"/>
    </sheetView>
  </sheetViews>
  <sheetFormatPr defaultRowHeight="15" x14ac:dyDescent="0.25"/>
  <cols>
    <col min="1" max="1" width="4" customWidth="1"/>
    <col min="2" max="3" width="18" customWidth="1"/>
    <col min="4" max="5" width="24" customWidth="1"/>
    <col min="6" max="6" width="26" customWidth="1"/>
    <col min="7" max="7" width="10" customWidth="1"/>
    <col min="8" max="8" width="14" customWidth="1"/>
    <col min="9" max="9" width="16" customWidth="1"/>
  </cols>
  <sheetData>
    <row r="1" spans="1:9" ht="24" customHeight="1" x14ac:dyDescent="0.25">
      <c r="A1" s="38" t="s">
        <v>70</v>
      </c>
      <c r="B1" s="34"/>
      <c r="C1" s="34"/>
      <c r="D1" s="34"/>
      <c r="E1" s="34"/>
      <c r="F1" s="34"/>
      <c r="G1" s="34"/>
      <c r="H1" s="34"/>
      <c r="I1" s="34"/>
    </row>
    <row r="2" spans="1:9" ht="42" customHeight="1" x14ac:dyDescent="0.25">
      <c r="A2" s="6" t="s">
        <v>45</v>
      </c>
      <c r="B2" s="6" t="s">
        <v>71</v>
      </c>
      <c r="C2" s="6" t="s">
        <v>72</v>
      </c>
      <c r="D2" s="6" t="s">
        <v>73</v>
      </c>
      <c r="E2" s="6" t="s">
        <v>74</v>
      </c>
      <c r="F2" s="6" t="s">
        <v>75</v>
      </c>
      <c r="G2" s="6" t="s">
        <v>76</v>
      </c>
      <c r="H2" s="6" t="s">
        <v>77</v>
      </c>
      <c r="I2" s="6" t="s">
        <v>78</v>
      </c>
    </row>
    <row r="3" spans="1:9" ht="20.100000000000001" customHeight="1" x14ac:dyDescent="0.25">
      <c r="A3" s="8">
        <v>1</v>
      </c>
      <c r="B3" s="9"/>
      <c r="C3" s="9"/>
      <c r="D3" s="9"/>
      <c r="E3" s="9"/>
      <c r="F3" s="9"/>
      <c r="G3" s="17">
        <v>0</v>
      </c>
      <c r="H3" s="11">
        <v>0</v>
      </c>
      <c r="I3" s="18">
        <f t="shared" ref="I3:I22" si="0">G3*H3</f>
        <v>0</v>
      </c>
    </row>
    <row r="4" spans="1:9" ht="20.100000000000001" customHeight="1" x14ac:dyDescent="0.25">
      <c r="A4" s="8">
        <v>2</v>
      </c>
      <c r="B4" s="12"/>
      <c r="C4" s="12"/>
      <c r="D4" s="12"/>
      <c r="E4" s="12"/>
      <c r="F4" s="12"/>
      <c r="G4" s="19">
        <v>0</v>
      </c>
      <c r="H4" s="13">
        <v>0</v>
      </c>
      <c r="I4" s="18">
        <f t="shared" si="0"/>
        <v>0</v>
      </c>
    </row>
    <row r="5" spans="1:9" ht="20.100000000000001" customHeight="1" x14ac:dyDescent="0.25">
      <c r="A5" s="8">
        <v>3</v>
      </c>
      <c r="B5" s="9"/>
      <c r="C5" s="9"/>
      <c r="D5" s="9"/>
      <c r="E5" s="9"/>
      <c r="F5" s="9"/>
      <c r="G5" s="17">
        <v>0</v>
      </c>
      <c r="H5" s="11">
        <v>0</v>
      </c>
      <c r="I5" s="18">
        <f t="shared" si="0"/>
        <v>0</v>
      </c>
    </row>
    <row r="6" spans="1:9" ht="20.100000000000001" customHeight="1" x14ac:dyDescent="0.25">
      <c r="A6" s="8">
        <v>4</v>
      </c>
      <c r="B6" s="12"/>
      <c r="C6" s="12"/>
      <c r="D6" s="12"/>
      <c r="E6" s="12"/>
      <c r="F6" s="12"/>
      <c r="G6" s="19">
        <v>0</v>
      </c>
      <c r="H6" s="13">
        <v>0</v>
      </c>
      <c r="I6" s="18">
        <f t="shared" si="0"/>
        <v>0</v>
      </c>
    </row>
    <row r="7" spans="1:9" ht="20.100000000000001" customHeight="1" x14ac:dyDescent="0.25">
      <c r="A7" s="8">
        <v>5</v>
      </c>
      <c r="B7" s="9"/>
      <c r="C7" s="9"/>
      <c r="D7" s="9"/>
      <c r="E7" s="9"/>
      <c r="F7" s="9"/>
      <c r="G7" s="17">
        <v>0</v>
      </c>
      <c r="H7" s="11">
        <v>0</v>
      </c>
      <c r="I7" s="18">
        <f t="shared" si="0"/>
        <v>0</v>
      </c>
    </row>
    <row r="8" spans="1:9" ht="20.100000000000001" customHeight="1" x14ac:dyDescent="0.25">
      <c r="A8" s="8">
        <v>6</v>
      </c>
      <c r="B8" s="12"/>
      <c r="C8" s="12"/>
      <c r="D8" s="12"/>
      <c r="E8" s="12"/>
      <c r="F8" s="12"/>
      <c r="G8" s="19">
        <v>0</v>
      </c>
      <c r="H8" s="13">
        <v>0</v>
      </c>
      <c r="I8" s="18">
        <f t="shared" si="0"/>
        <v>0</v>
      </c>
    </row>
    <row r="9" spans="1:9" ht="20.100000000000001" customHeight="1" x14ac:dyDescent="0.25">
      <c r="A9" s="8">
        <v>7</v>
      </c>
      <c r="B9" s="9"/>
      <c r="C9" s="9"/>
      <c r="D9" s="9"/>
      <c r="E9" s="9"/>
      <c r="F9" s="9"/>
      <c r="G9" s="17">
        <v>0</v>
      </c>
      <c r="H9" s="11">
        <v>0</v>
      </c>
      <c r="I9" s="18">
        <f t="shared" si="0"/>
        <v>0</v>
      </c>
    </row>
    <row r="10" spans="1:9" ht="20.100000000000001" customHeight="1" x14ac:dyDescent="0.25">
      <c r="A10" s="8">
        <v>8</v>
      </c>
      <c r="B10" s="12"/>
      <c r="C10" s="12"/>
      <c r="D10" s="12"/>
      <c r="E10" s="12"/>
      <c r="F10" s="12"/>
      <c r="G10" s="19">
        <v>0</v>
      </c>
      <c r="H10" s="13">
        <v>0</v>
      </c>
      <c r="I10" s="18">
        <f t="shared" si="0"/>
        <v>0</v>
      </c>
    </row>
    <row r="11" spans="1:9" ht="20.100000000000001" customHeight="1" x14ac:dyDescent="0.25">
      <c r="A11" s="8">
        <v>9</v>
      </c>
      <c r="B11" s="9"/>
      <c r="C11" s="9"/>
      <c r="D11" s="9"/>
      <c r="E11" s="9"/>
      <c r="F11" s="9"/>
      <c r="G11" s="17">
        <v>0</v>
      </c>
      <c r="H11" s="11">
        <v>0</v>
      </c>
      <c r="I11" s="18">
        <f t="shared" si="0"/>
        <v>0</v>
      </c>
    </row>
    <row r="12" spans="1:9" ht="20.100000000000001" customHeight="1" x14ac:dyDescent="0.25">
      <c r="A12" s="8">
        <v>10</v>
      </c>
      <c r="B12" s="12"/>
      <c r="C12" s="12"/>
      <c r="D12" s="12"/>
      <c r="E12" s="12"/>
      <c r="F12" s="12"/>
      <c r="G12" s="19">
        <v>0</v>
      </c>
      <c r="H12" s="13">
        <v>0</v>
      </c>
      <c r="I12" s="18">
        <f t="shared" si="0"/>
        <v>0</v>
      </c>
    </row>
    <row r="13" spans="1:9" ht="20.100000000000001" customHeight="1" x14ac:dyDescent="0.25">
      <c r="A13" s="8">
        <v>11</v>
      </c>
      <c r="B13" s="9"/>
      <c r="C13" s="9"/>
      <c r="D13" s="9"/>
      <c r="E13" s="9"/>
      <c r="F13" s="9"/>
      <c r="G13" s="17">
        <v>0</v>
      </c>
      <c r="H13" s="11">
        <v>0</v>
      </c>
      <c r="I13" s="18">
        <f t="shared" si="0"/>
        <v>0</v>
      </c>
    </row>
    <row r="14" spans="1:9" ht="20.100000000000001" customHeight="1" x14ac:dyDescent="0.25">
      <c r="A14" s="8">
        <v>12</v>
      </c>
      <c r="B14" s="12"/>
      <c r="C14" s="12"/>
      <c r="D14" s="12"/>
      <c r="E14" s="12"/>
      <c r="F14" s="12"/>
      <c r="G14" s="19">
        <v>0</v>
      </c>
      <c r="H14" s="13">
        <v>0</v>
      </c>
      <c r="I14" s="18">
        <f t="shared" si="0"/>
        <v>0</v>
      </c>
    </row>
    <row r="15" spans="1:9" ht="20.100000000000001" customHeight="1" x14ac:dyDescent="0.25">
      <c r="A15" s="8">
        <v>13</v>
      </c>
      <c r="B15" s="9"/>
      <c r="C15" s="9"/>
      <c r="D15" s="9"/>
      <c r="E15" s="9"/>
      <c r="F15" s="9"/>
      <c r="G15" s="17">
        <v>0</v>
      </c>
      <c r="H15" s="11">
        <v>0</v>
      </c>
      <c r="I15" s="18">
        <f t="shared" si="0"/>
        <v>0</v>
      </c>
    </row>
    <row r="16" spans="1:9" ht="20.100000000000001" customHeight="1" x14ac:dyDescent="0.25">
      <c r="A16" s="8">
        <v>14</v>
      </c>
      <c r="B16" s="12"/>
      <c r="C16" s="12"/>
      <c r="D16" s="12"/>
      <c r="E16" s="12"/>
      <c r="F16" s="12"/>
      <c r="G16" s="19">
        <v>0</v>
      </c>
      <c r="H16" s="13">
        <v>0</v>
      </c>
      <c r="I16" s="18">
        <f t="shared" si="0"/>
        <v>0</v>
      </c>
    </row>
    <row r="17" spans="1:9" ht="20.100000000000001" customHeight="1" x14ac:dyDescent="0.25">
      <c r="A17" s="8">
        <v>15</v>
      </c>
      <c r="B17" s="9"/>
      <c r="C17" s="9"/>
      <c r="D17" s="9"/>
      <c r="E17" s="9"/>
      <c r="F17" s="9"/>
      <c r="G17" s="17">
        <v>0</v>
      </c>
      <c r="H17" s="11">
        <v>0</v>
      </c>
      <c r="I17" s="18">
        <f t="shared" si="0"/>
        <v>0</v>
      </c>
    </row>
    <row r="18" spans="1:9" ht="20.100000000000001" customHeight="1" x14ac:dyDescent="0.25">
      <c r="A18" s="8">
        <v>16</v>
      </c>
      <c r="B18" s="12"/>
      <c r="C18" s="12"/>
      <c r="D18" s="12"/>
      <c r="E18" s="12"/>
      <c r="F18" s="12"/>
      <c r="G18" s="19">
        <v>0</v>
      </c>
      <c r="H18" s="13">
        <v>0</v>
      </c>
      <c r="I18" s="18">
        <f t="shared" si="0"/>
        <v>0</v>
      </c>
    </row>
    <row r="19" spans="1:9" ht="20.100000000000001" customHeight="1" x14ac:dyDescent="0.25">
      <c r="A19" s="8">
        <v>17</v>
      </c>
      <c r="B19" s="9"/>
      <c r="C19" s="9"/>
      <c r="D19" s="9"/>
      <c r="E19" s="9"/>
      <c r="F19" s="9"/>
      <c r="G19" s="17">
        <v>0</v>
      </c>
      <c r="H19" s="11">
        <v>0</v>
      </c>
      <c r="I19" s="18">
        <f t="shared" si="0"/>
        <v>0</v>
      </c>
    </row>
    <row r="20" spans="1:9" ht="20.100000000000001" customHeight="1" x14ac:dyDescent="0.25">
      <c r="A20" s="8">
        <v>18</v>
      </c>
      <c r="B20" s="12"/>
      <c r="C20" s="12"/>
      <c r="D20" s="12"/>
      <c r="E20" s="12"/>
      <c r="F20" s="12"/>
      <c r="G20" s="19">
        <v>0</v>
      </c>
      <c r="H20" s="13">
        <v>0</v>
      </c>
      <c r="I20" s="18">
        <f t="shared" si="0"/>
        <v>0</v>
      </c>
    </row>
    <row r="21" spans="1:9" ht="20.100000000000001" customHeight="1" x14ac:dyDescent="0.25">
      <c r="A21" s="8">
        <v>19</v>
      </c>
      <c r="B21" s="9"/>
      <c r="C21" s="9"/>
      <c r="D21" s="9"/>
      <c r="E21" s="9"/>
      <c r="F21" s="9"/>
      <c r="G21" s="17">
        <v>0</v>
      </c>
      <c r="H21" s="11">
        <v>0</v>
      </c>
      <c r="I21" s="18">
        <f t="shared" si="0"/>
        <v>0</v>
      </c>
    </row>
    <row r="22" spans="1:9" ht="20.100000000000001" customHeight="1" x14ac:dyDescent="0.25">
      <c r="A22" s="8">
        <v>20</v>
      </c>
      <c r="B22" s="12"/>
      <c r="C22" s="12"/>
      <c r="D22" s="12"/>
      <c r="E22" s="12"/>
      <c r="F22" s="12"/>
      <c r="G22" s="19">
        <v>0</v>
      </c>
      <c r="H22" s="13">
        <v>0</v>
      </c>
      <c r="I22" s="18">
        <f t="shared" si="0"/>
        <v>0</v>
      </c>
    </row>
    <row r="23" spans="1:9" x14ac:dyDescent="0.25">
      <c r="A23" s="36" t="s">
        <v>58</v>
      </c>
      <c r="B23" s="34"/>
      <c r="C23" s="34"/>
      <c r="D23" s="34"/>
      <c r="E23" s="34"/>
      <c r="F23" s="34"/>
      <c r="G23" s="34"/>
      <c r="H23" s="34"/>
      <c r="I23" s="14">
        <f>SUM(I3:I22)</f>
        <v>0</v>
      </c>
    </row>
  </sheetData>
  <mergeCells count="2">
    <mergeCell ref="A1:I1"/>
    <mergeCell ref="A23:H23"/>
  </mergeCells>
  <dataValidations count="1">
    <dataValidation type="list" allowBlank="1" sqref="F3 F4 F5 F6 F7 F8 F9 F10 F11 F12 F13 F14 F15 F16 F17 F18 F19 F20 F21 F22" xr:uid="{00000000-0002-0000-0400-000000000000}">
      <formula1>LC_Mode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A8A04"/>
  </sheetPr>
  <dimension ref="A1:C23"/>
  <sheetViews>
    <sheetView showGridLines="0" workbookViewId="0">
      <selection activeCell="B8" sqref="B8"/>
    </sheetView>
  </sheetViews>
  <sheetFormatPr defaultRowHeight="15" x14ac:dyDescent="0.25"/>
  <cols>
    <col min="1" max="1" width="4" customWidth="1"/>
    <col min="2" max="2" width="56" customWidth="1"/>
    <col min="3" max="3" width="20" customWidth="1"/>
  </cols>
  <sheetData>
    <row r="1" spans="1:3" ht="24" customHeight="1" x14ac:dyDescent="0.25">
      <c r="A1" s="38" t="s">
        <v>79</v>
      </c>
      <c r="B1" s="34"/>
      <c r="C1" s="34"/>
    </row>
    <row r="2" spans="1:3" ht="42" customHeight="1" x14ac:dyDescent="0.25">
      <c r="A2" s="6" t="s">
        <v>45</v>
      </c>
      <c r="B2" s="6" t="s">
        <v>80</v>
      </c>
      <c r="C2" s="6" t="s">
        <v>81</v>
      </c>
    </row>
    <row r="3" spans="1:3" ht="20.100000000000001" customHeight="1" x14ac:dyDescent="0.25">
      <c r="A3" s="8">
        <v>1</v>
      </c>
      <c r="B3" s="20"/>
      <c r="C3" s="11">
        <v>0</v>
      </c>
    </row>
    <row r="4" spans="1:3" ht="20.100000000000001" customHeight="1" x14ac:dyDescent="0.25">
      <c r="A4" s="8">
        <v>2</v>
      </c>
      <c r="B4" s="4"/>
      <c r="C4" s="13">
        <v>0</v>
      </c>
    </row>
    <row r="5" spans="1:3" ht="20.100000000000001" customHeight="1" x14ac:dyDescent="0.25">
      <c r="A5" s="8">
        <v>3</v>
      </c>
      <c r="B5" s="20"/>
      <c r="C5" s="11">
        <v>0</v>
      </c>
    </row>
    <row r="6" spans="1:3" ht="20.100000000000001" customHeight="1" x14ac:dyDescent="0.25">
      <c r="A6" s="8">
        <v>4</v>
      </c>
      <c r="B6" s="4"/>
      <c r="C6" s="13">
        <v>0</v>
      </c>
    </row>
    <row r="7" spans="1:3" ht="20.100000000000001" customHeight="1" x14ac:dyDescent="0.25">
      <c r="A7" s="8">
        <v>5</v>
      </c>
      <c r="B7" s="20"/>
      <c r="C7" s="11">
        <v>0</v>
      </c>
    </row>
    <row r="8" spans="1:3" ht="20.100000000000001" customHeight="1" x14ac:dyDescent="0.25">
      <c r="A8" s="8">
        <v>6</v>
      </c>
      <c r="B8" s="4"/>
      <c r="C8" s="13">
        <v>0</v>
      </c>
    </row>
    <row r="9" spans="1:3" ht="20.100000000000001" customHeight="1" x14ac:dyDescent="0.25">
      <c r="A9" s="8">
        <v>7</v>
      </c>
      <c r="B9" s="20"/>
      <c r="C9" s="11">
        <v>0</v>
      </c>
    </row>
    <row r="10" spans="1:3" ht="20.100000000000001" customHeight="1" x14ac:dyDescent="0.25">
      <c r="A10" s="8">
        <v>8</v>
      </c>
      <c r="B10" s="4"/>
      <c r="C10" s="13">
        <v>0</v>
      </c>
    </row>
    <row r="11" spans="1:3" ht="20.100000000000001" customHeight="1" x14ac:dyDescent="0.25">
      <c r="A11" s="8">
        <v>9</v>
      </c>
      <c r="B11" s="20"/>
      <c r="C11" s="11">
        <v>0</v>
      </c>
    </row>
    <row r="12" spans="1:3" ht="20.100000000000001" customHeight="1" x14ac:dyDescent="0.25">
      <c r="A12" s="8">
        <v>10</v>
      </c>
      <c r="B12" s="4"/>
      <c r="C12" s="13">
        <v>0</v>
      </c>
    </row>
    <row r="13" spans="1:3" ht="20.100000000000001" customHeight="1" x14ac:dyDescent="0.25">
      <c r="A13" s="8">
        <v>11</v>
      </c>
      <c r="B13" s="20"/>
      <c r="C13" s="11">
        <v>0</v>
      </c>
    </row>
    <row r="14" spans="1:3" ht="20.100000000000001" customHeight="1" x14ac:dyDescent="0.25">
      <c r="A14" s="8">
        <v>12</v>
      </c>
      <c r="B14" s="4"/>
      <c r="C14" s="13">
        <v>0</v>
      </c>
    </row>
    <row r="15" spans="1:3" ht="20.100000000000001" customHeight="1" x14ac:dyDescent="0.25">
      <c r="A15" s="8">
        <v>13</v>
      </c>
      <c r="B15" s="20"/>
      <c r="C15" s="11">
        <v>0</v>
      </c>
    </row>
    <row r="16" spans="1:3" ht="20.100000000000001" customHeight="1" x14ac:dyDescent="0.25">
      <c r="A16" s="8">
        <v>14</v>
      </c>
      <c r="B16" s="4"/>
      <c r="C16" s="13">
        <v>0</v>
      </c>
    </row>
    <row r="17" spans="1:3" ht="20.100000000000001" customHeight="1" x14ac:dyDescent="0.25">
      <c r="A17" s="8">
        <v>15</v>
      </c>
      <c r="B17" s="20"/>
      <c r="C17" s="11">
        <v>0</v>
      </c>
    </row>
    <row r="18" spans="1:3" ht="20.100000000000001" customHeight="1" x14ac:dyDescent="0.25">
      <c r="A18" s="8">
        <v>16</v>
      </c>
      <c r="B18" s="4"/>
      <c r="C18" s="13">
        <v>0</v>
      </c>
    </row>
    <row r="19" spans="1:3" ht="20.100000000000001" customHeight="1" x14ac:dyDescent="0.25">
      <c r="A19" s="8">
        <v>17</v>
      </c>
      <c r="B19" s="20"/>
      <c r="C19" s="11">
        <v>0</v>
      </c>
    </row>
    <row r="20" spans="1:3" ht="20.100000000000001" customHeight="1" x14ac:dyDescent="0.25">
      <c r="A20" s="8">
        <v>18</v>
      </c>
      <c r="B20" s="4"/>
      <c r="C20" s="13">
        <v>0</v>
      </c>
    </row>
    <row r="21" spans="1:3" ht="20.100000000000001" customHeight="1" x14ac:dyDescent="0.25">
      <c r="A21" s="8">
        <v>19</v>
      </c>
      <c r="B21" s="20"/>
      <c r="C21" s="11">
        <v>0</v>
      </c>
    </row>
    <row r="22" spans="1:3" ht="20.100000000000001" customHeight="1" x14ac:dyDescent="0.25">
      <c r="A22" s="8">
        <v>20</v>
      </c>
      <c r="B22" s="4"/>
      <c r="C22" s="13">
        <v>0</v>
      </c>
    </row>
    <row r="23" spans="1:3" x14ac:dyDescent="0.25">
      <c r="A23" s="36" t="s">
        <v>58</v>
      </c>
      <c r="B23" s="34"/>
      <c r="C23" s="14">
        <f>SUM(C3:C22)</f>
        <v>0</v>
      </c>
    </row>
  </sheetData>
  <mergeCells count="2">
    <mergeCell ref="A1:C1"/>
    <mergeCell ref="A23:B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B2A4A"/>
  </sheetPr>
  <dimension ref="A1:C7"/>
  <sheetViews>
    <sheetView showGridLines="0" workbookViewId="0">
      <selection sqref="A1:C1"/>
    </sheetView>
  </sheetViews>
  <sheetFormatPr defaultRowHeight="15" x14ac:dyDescent="0.25"/>
  <cols>
    <col min="1" max="1" width="8" customWidth="1"/>
    <col min="2" max="2" width="42" customWidth="1"/>
    <col min="3" max="3" width="20" customWidth="1"/>
  </cols>
  <sheetData>
    <row r="1" spans="1:3" ht="24" customHeight="1" x14ac:dyDescent="0.25">
      <c r="A1" s="38" t="s">
        <v>82</v>
      </c>
      <c r="B1" s="34"/>
      <c r="C1" s="34"/>
    </row>
    <row r="3" spans="1:3" ht="24" customHeight="1" x14ac:dyDescent="0.25">
      <c r="A3" s="21" t="s">
        <v>83</v>
      </c>
      <c r="B3" s="22" t="s">
        <v>84</v>
      </c>
      <c r="C3" s="23">
        <f>Travel_Settlement!M24</f>
        <v>0</v>
      </c>
    </row>
    <row r="4" spans="1:3" ht="24" customHeight="1" x14ac:dyDescent="0.25">
      <c r="A4" s="21" t="s">
        <v>85</v>
      </c>
      <c r="B4" s="24" t="s">
        <v>86</v>
      </c>
      <c r="C4" s="23">
        <f>Boarding_Lodging!K24</f>
        <v>0</v>
      </c>
    </row>
    <row r="5" spans="1:3" ht="24" customHeight="1" x14ac:dyDescent="0.25">
      <c r="A5" s="21" t="s">
        <v>87</v>
      </c>
      <c r="B5" s="22" t="s">
        <v>88</v>
      </c>
      <c r="C5" s="23">
        <f>Local_Conveyance!I23</f>
        <v>0</v>
      </c>
    </row>
    <row r="6" spans="1:3" ht="24" customHeight="1" x14ac:dyDescent="0.25">
      <c r="A6" s="21" t="s">
        <v>89</v>
      </c>
      <c r="B6" s="24" t="s">
        <v>90</v>
      </c>
      <c r="C6" s="23">
        <f>Miscellaneous!C23</f>
        <v>0</v>
      </c>
    </row>
    <row r="7" spans="1:3" ht="27.95" customHeight="1" x14ac:dyDescent="0.25">
      <c r="A7" s="25" t="s">
        <v>91</v>
      </c>
      <c r="B7" s="26" t="s">
        <v>92</v>
      </c>
      <c r="C7" s="27">
        <f>C3+C4+C5+C6</f>
        <v>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_LOOKUP</vt:lpstr>
      <vt:lpstr>HOW_TO_USE</vt:lpstr>
      <vt:lpstr>Travel_Settlement</vt:lpstr>
      <vt:lpstr>Boarding_Lodging</vt:lpstr>
      <vt:lpstr>Local_Conveyance</vt:lpstr>
      <vt:lpstr>Miscellaneous</vt:lpstr>
      <vt:lpstr>Summary</vt:lpstr>
      <vt:lpstr>BL_AccType</vt:lpstr>
      <vt:lpstr>BL_BookedBy</vt:lpstr>
      <vt:lpstr>BL_Type</vt:lpstr>
      <vt:lpstr>Booked_By</vt:lpstr>
      <vt:lpstr>Flight</vt:lpstr>
      <vt:lpstr>LC_Mode</vt:lpstr>
      <vt:lpstr>Mode_List</vt:lpstr>
      <vt:lpstr>Others</vt:lpstr>
      <vt:lpstr>Relaxation</vt:lpstr>
      <vt:lpstr>Road</vt:lpstr>
      <vt:lpstr>Ship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vivek.i@esic.gov.in</cp:lastModifiedBy>
  <dcterms:created xsi:type="dcterms:W3CDTF">2026-04-07T07:26:59Z</dcterms:created>
  <dcterms:modified xsi:type="dcterms:W3CDTF">2026-04-07T10:34:45Z</dcterms:modified>
</cp:coreProperties>
</file>